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7" i="1"/>
  <c r="B6" i="1"/>
  <c r="B8" i="1"/>
  <c r="B10" i="1"/>
  <c r="B9" i="1"/>
  <c r="B11" i="1"/>
  <c r="B12" i="1"/>
  <c r="B13" i="1"/>
  <c r="B14" i="1"/>
  <c r="B15" i="1"/>
</calcChain>
</file>

<file path=xl/sharedStrings.xml><?xml version="1.0" encoding="utf-8"?>
<sst xmlns="http://schemas.openxmlformats.org/spreadsheetml/2006/main" count="50" uniqueCount="34">
  <si>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</si>
  <si>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</si>
  <si>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</si>
  <si>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</si>
  <si>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</si>
  <si>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</si>
  <si>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</si>
  <si>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</si>
  <si>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</si>
  <si>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</si>
  <si>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</si>
  <si>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</si>
  <si>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</si>
  <si>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</si>
  <si>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 xml:space="preserve"> </t>
  </si>
  <si>
    <t>Réception et analyse du cahier des charges</t>
  </si>
  <si>
    <t>Préparation</t>
  </si>
  <si>
    <t>UseCases, Scénarios</t>
  </si>
  <si>
    <t>Théorie MCD</t>
  </si>
  <si>
    <t>Maquettes</t>
  </si>
  <si>
    <t>UseCases, Scénarios, Maquettes</t>
  </si>
  <si>
    <t>Codage de l'affichage du tableau</t>
  </si>
  <si>
    <t>Pseudo-Code: Affichage tableau</t>
  </si>
  <si>
    <t>Codage du menu + accès a l'action 2 et 3</t>
  </si>
  <si>
    <t>Git et Github, synthèse premier pas</t>
  </si>
  <si>
    <t>Débugage de l'action 2 du menu du jeu + ajout des vérifications (touché, raté, coulé, déjà joué) des choix du joueur en jeu + l'affichage de celle-ci  sur le tableau de jeu + système de partie terminé</t>
  </si>
  <si>
    <t>Mise à jour des plusieurs menus + affichage du cmd en plein écran dès le lancement + passage du code de la partie dans une fonction + ajout aide de jeu</t>
  </si>
  <si>
    <t>Bug: Dans n'importe quel menu, si on met une lettre, le programme boucle.</t>
  </si>
  <si>
    <t>Bug menu toujours présent.</t>
  </si>
  <si>
    <t>Action 2 du menu du jeu, le message s'affiche en boucle.</t>
  </si>
  <si>
    <t>Aide d'Ethann + Bug: lors d'une partie, si on met la ligne 10, ça fais crash le jeu.</t>
  </si>
  <si>
    <t>Résolution partielle du Bug des menu</t>
  </si>
  <si>
    <t>Approche plus démonstration méthode agile dans la gestion de projet.</t>
  </si>
  <si>
    <t>Code commenté au complet + résolution d'un bug: le tableau ne se réinitialisait pas si on relançait une partie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</si>
</sst>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5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0"/>
  <sheetViews>
    <sheetView tabSelected="1" workbookViewId="0">
      <selection activeCell="D3" sqref="D3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20" bestFit="1" customWidth="1"/>
    <col min="3" max="3" width="10.57031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30" x14ac:dyDescent="0.25">
      <c r="A2" s="7">
        <v>44263</v>
      </c>
      <c r="B2" s="19">
        <f>IF(ISBLANK(A2),"",WEEKNUM(A2))</f>
        <v>11</v>
      </c>
      <c r="C2" s="12">
        <v>0.75</v>
      </c>
      <c r="D2" s="13" t="s">
        <v>7</v>
      </c>
      <c r="E2" s="14" t="s">
        <v>33</v>
      </c>
      <c r="F2" s="14"/>
      <c r="I2" s="15"/>
    </row>
    <row r="3" spans="1:9" x14ac:dyDescent="0.25">
      <c r="A3" s="7">
        <v>44263</v>
      </c>
      <c r="B3" s="19">
        <f>IF(ISBLANK(A3),"",WEEKNUM(A3))</f>
        <v>11</v>
      </c>
      <c r="C3" s="12">
        <v>0.5</v>
      </c>
      <c r="D3" s="13" t="s">
        <v>9</v>
      </c>
      <c r="E3" s="14" t="s">
        <v>32</v>
      </c>
      <c r="F3" s="14"/>
      <c r="I3" s="15"/>
    </row>
    <row r="4" spans="1:9" x14ac:dyDescent="0.25">
      <c r="A4" s="7">
        <v>44260</v>
      </c>
      <c r="B4" s="19">
        <f>IF(ISBLANK(A4),"",WEEKNUM(A4))</f>
        <v>10</v>
      </c>
      <c r="C4" s="12">
        <v>1</v>
      </c>
      <c r="D4" s="13" t="s">
        <v>7</v>
      </c>
      <c r="E4" s="14" t="s">
        <v>31</v>
      </c>
      <c r="F4" s="14" t="s">
        <v>30</v>
      </c>
      <c r="I4" s="15"/>
    </row>
    <row r="5" spans="1:9" ht="30" x14ac:dyDescent="0.25">
      <c r="A5" s="7">
        <v>44259</v>
      </c>
      <c r="B5" s="19">
        <f>IF(ISBLANK(A5),"",WEEKNUM(A5))</f>
        <v>10</v>
      </c>
      <c r="C5" s="12">
        <v>1.5</v>
      </c>
      <c r="D5" s="13" t="s">
        <v>7</v>
      </c>
      <c r="E5" s="14" t="s">
        <v>26</v>
      </c>
      <c r="F5" s="14" t="s">
        <v>28</v>
      </c>
      <c r="I5" s="15"/>
    </row>
    <row r="6" spans="1:9" x14ac:dyDescent="0.25">
      <c r="A6" s="7">
        <v>44258</v>
      </c>
      <c r="B6" s="19">
        <f>IF(ISBLANK(A6),"",WEEKNUM(A6))</f>
        <v>10</v>
      </c>
      <c r="C6" s="12">
        <v>0.25</v>
      </c>
      <c r="D6" s="13" t="s">
        <v>9</v>
      </c>
      <c r="E6" s="14" t="s">
        <v>24</v>
      </c>
      <c r="F6" s="14"/>
      <c r="I6" s="15"/>
    </row>
    <row r="7" spans="1:9" ht="45" x14ac:dyDescent="0.25">
      <c r="A7" s="7">
        <v>44258</v>
      </c>
      <c r="B7" s="19">
        <f t="shared" ref="B7" si="0">IF(ISBLANK(A7),"",WEEKNUM(A7))</f>
        <v>10</v>
      </c>
      <c r="C7" s="12">
        <v>1.5</v>
      </c>
      <c r="D7" s="13" t="s">
        <v>7</v>
      </c>
      <c r="E7" s="14" t="s">
        <v>25</v>
      </c>
      <c r="F7" s="14" t="s">
        <v>27</v>
      </c>
      <c r="I7" s="15"/>
    </row>
    <row r="8" spans="1:9" x14ac:dyDescent="0.25">
      <c r="A8" s="7">
        <v>44256</v>
      </c>
      <c r="B8" s="19">
        <f t="shared" ref="B8" si="1">IF(ISBLANK(A8),"",WEEKNUM(A8))</f>
        <v>10</v>
      </c>
      <c r="C8" s="12">
        <v>0.25</v>
      </c>
      <c r="D8" s="13" t="s">
        <v>7</v>
      </c>
      <c r="E8" s="14" t="s">
        <v>23</v>
      </c>
      <c r="F8" s="14" t="s">
        <v>29</v>
      </c>
      <c r="I8" s="15"/>
    </row>
    <row r="9" spans="1:9" x14ac:dyDescent="0.25">
      <c r="A9" s="7">
        <v>44249</v>
      </c>
      <c r="B9" s="19">
        <f t="shared" ref="B9:B10" si="2">IF(ISBLANK(A9),"",WEEKNUM(A9))</f>
        <v>9</v>
      </c>
      <c r="C9" s="12">
        <v>0.25</v>
      </c>
      <c r="D9" s="13" t="s">
        <v>7</v>
      </c>
      <c r="E9" s="14" t="s">
        <v>21</v>
      </c>
      <c r="F9" s="14"/>
      <c r="I9" s="15"/>
    </row>
    <row r="10" spans="1:9" x14ac:dyDescent="0.25">
      <c r="A10" s="7">
        <v>44249</v>
      </c>
      <c r="B10" s="19">
        <f t="shared" si="2"/>
        <v>9</v>
      </c>
      <c r="C10" s="12">
        <v>0.25</v>
      </c>
      <c r="D10" s="13" t="s">
        <v>16</v>
      </c>
      <c r="E10" s="14" t="s">
        <v>22</v>
      </c>
      <c r="F10" s="14"/>
      <c r="I10" s="15"/>
    </row>
    <row r="11" spans="1:9" x14ac:dyDescent="0.25">
      <c r="A11" s="7">
        <v>44246</v>
      </c>
      <c r="B11" s="19">
        <f t="shared" ref="B11" si="3">IF(ISBLANK(A11),"",WEEKNUM(A11))</f>
        <v>8</v>
      </c>
      <c r="C11" s="12">
        <v>1</v>
      </c>
      <c r="D11" s="13" t="s">
        <v>16</v>
      </c>
      <c r="E11" s="14" t="s">
        <v>19</v>
      </c>
      <c r="F11" s="14"/>
      <c r="I11" s="15"/>
    </row>
    <row r="12" spans="1:9" x14ac:dyDescent="0.25">
      <c r="A12" s="7">
        <v>44245</v>
      </c>
      <c r="B12" s="19">
        <f t="shared" ref="B12" si="4">IF(ISBLANK(A12),"",WEEKNUM(A12))</f>
        <v>8</v>
      </c>
      <c r="C12" s="12">
        <v>0.25</v>
      </c>
      <c r="D12" s="13" t="s">
        <v>9</v>
      </c>
      <c r="E12" s="14" t="s">
        <v>18</v>
      </c>
      <c r="F12" s="14"/>
      <c r="I12" s="15"/>
    </row>
    <row r="13" spans="1:9" x14ac:dyDescent="0.25">
      <c r="A13" s="7">
        <v>44245</v>
      </c>
      <c r="B13" s="19">
        <f t="shared" ref="B13" si="5">IF(ISBLANK(A13),"",WEEKNUM(A13))</f>
        <v>8</v>
      </c>
      <c r="C13" s="12">
        <v>2</v>
      </c>
      <c r="D13" s="13" t="s">
        <v>16</v>
      </c>
      <c r="E13" s="14" t="s">
        <v>20</v>
      </c>
      <c r="F13" s="14"/>
      <c r="I13" s="15"/>
    </row>
    <row r="14" spans="1:9" x14ac:dyDescent="0.25">
      <c r="A14" s="7">
        <v>44244</v>
      </c>
      <c r="B14" s="19">
        <f t="shared" ref="B14" si="6">IF(ISBLANK(A14),"",WEEKNUM(A14))</f>
        <v>8</v>
      </c>
      <c r="C14" s="12">
        <v>1</v>
      </c>
      <c r="D14" s="13" t="s">
        <v>16</v>
      </c>
      <c r="E14" s="14" t="s">
        <v>17</v>
      </c>
      <c r="F14" s="14"/>
      <c r="I14" s="15"/>
    </row>
    <row r="15" spans="1:9" x14ac:dyDescent="0.25">
      <c r="A15" s="7">
        <v>44242</v>
      </c>
      <c r="B15" s="19">
        <f t="shared" ref="B15" si="7">IF(ISBLANK(A15),"",WEEKNUM(A15))</f>
        <v>8</v>
      </c>
      <c r="C15" s="12">
        <v>0.3</v>
      </c>
      <c r="D15" s="13" t="s">
        <v>6</v>
      </c>
      <c r="E15" s="14" t="s">
        <v>15</v>
      </c>
      <c r="F15" s="14"/>
      <c r="I15" s="15"/>
    </row>
    <row r="16" spans="1:9" x14ac:dyDescent="0.25">
      <c r="A16" s="21"/>
    </row>
    <row r="17" spans="1:5" x14ac:dyDescent="0.25">
      <c r="A17" s="22"/>
      <c r="B17" s="22"/>
    </row>
    <row r="30" spans="1:5" x14ac:dyDescent="0.25">
      <c r="E30" s="17" t="s">
        <v>14</v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D2:D15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9.85546875" bestFit="1" customWidth="1"/>
    <col min="2" max="2" width="8" bestFit="1" customWidth="1"/>
    <col min="3" max="3" width="12.57031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8" sqref="A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2021-03-09T13:57:56Z</dcterms:modified>
</cp:coreProperties>
</file>